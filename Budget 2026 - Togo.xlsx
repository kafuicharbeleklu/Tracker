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https://shareafrica.sharepoint.com/sites/AnimationRseauIT/Documents partages/Budget 2019/Budget 2025/"/>
    </mc:Choice>
  </mc:AlternateContent>
  <xr:revisionPtr revIDLastSave="224" documentId="8_{8C83051E-B05C-4C16-AB71-AA256FC17815}" xr6:coauthVersionLast="47" xr6:coauthVersionMax="47" xr10:uidLastSave="{99B47608-4C75-4F32-AF19-F2095454FCB0}"/>
  <bookViews>
    <workbookView xWindow="-120" yWindow="-120" windowWidth="29040" windowHeight="15720" xr2:uid="{00000000-000D-0000-FFFF-FFFF00000000}"/>
  </bookViews>
  <sheets>
    <sheet name="Budget" sheetId="3" r:id="rId1"/>
    <sheet name="Références" sheetId="2" r:id="rId2"/>
  </sheets>
  <definedNames>
    <definedName name="Catégorie">Références!$A$2:$A$5</definedName>
    <definedName name="Equipements">Références!$B$2:$B$104</definedName>
    <definedName name="Site">Références!$E$2:$E$30</definedName>
    <definedName name="Société">Références!$D$2:$D$25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J11" i="3" s="1"/>
  <c r="I12" i="3" l="1"/>
  <c r="J12" i="3" s="1"/>
  <c r="I10" i="3"/>
  <c r="J10" i="3" s="1"/>
  <c r="I6" i="3"/>
  <c r="J6" i="3" s="1"/>
  <c r="I14" i="3"/>
  <c r="J14" i="3" s="1"/>
  <c r="I5" i="3"/>
  <c r="J5" i="3" s="1"/>
  <c r="I16" i="3"/>
  <c r="J16" i="3" s="1"/>
  <c r="I13" i="3"/>
  <c r="J13" i="3" s="1"/>
  <c r="I15" i="3"/>
  <c r="J15" i="3" s="1"/>
  <c r="I3" i="3"/>
  <c r="J3" i="3" s="1"/>
  <c r="I4" i="3"/>
  <c r="J4" i="3" s="1"/>
  <c r="I2" i="3"/>
  <c r="J2" i="3" s="1"/>
  <c r="I7" i="3"/>
  <c r="J7" i="3" s="1"/>
  <c r="I8" i="3"/>
  <c r="J8" i="3" s="1"/>
  <c r="I9" i="3"/>
  <c r="J9" i="3" s="1"/>
  <c r="I1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users_03_09_2019 14_02_46" description="Connexion à la requête « users_03_09_2019 14_02_46 » dans le classeur." type="5" refreshedVersion="6" background="1" saveData="1">
    <dbPr connection="Provider=Microsoft.Mashup.OleDb.1;Data Source=$Workbook$;Location=users_03_09_2019 14_02_46;Extended Properties=&quot;&quot;" command="SELECT * FROM [users_03_09_2019 14_02_46]"/>
  </connection>
  <connection id="2" xr16:uid="{00000000-0015-0000-FFFF-FFFF01000000}" keepAlive="1" name="Requête - users_03_10_2022 08_36_13" description="Connexion à la requête « users_03_10_2022 08_36_13 » dans le classeur." type="5" refreshedVersion="8" background="1" saveData="1">
    <dbPr connection="Provider=Microsoft.Mashup.OleDb.1;Data Source=$Workbook$;Location=&quot;users_03_10_2022 08_36_13&quot;;Extended Properties=&quot;&quot;" command="SELECT * FROM [users_03_10_2022 08_36_13]"/>
  </connection>
  <connection id="3" xr16:uid="{00000000-0015-0000-FFFF-FFFF02000000}" keepAlive="1" name="Requête - users_07_09_2021 09_52_38" description="Connexion à la requête « users_07_09_2021 09_52_38 » dans le classeur." type="5" refreshedVersion="7" background="1" saveData="1">
    <dbPr connection="Provider=Microsoft.Mashup.OleDb.1;Data Source=$Workbook$;Location=&quot;users_07_09_2021 09_52_38&quot;;Extended Properties=&quot;&quot;" command="SELECT * FROM [users_07_09_2021 09_52_38]"/>
  </connection>
</connections>
</file>

<file path=xl/sharedStrings.xml><?xml version="1.0" encoding="utf-8"?>
<sst xmlns="http://schemas.openxmlformats.org/spreadsheetml/2006/main" count="273" uniqueCount="205">
  <si>
    <t>Catégorie</t>
  </si>
  <si>
    <t>Désignation</t>
  </si>
  <si>
    <t>OPEX/CAPEX</t>
  </si>
  <si>
    <t>Fournisseur</t>
  </si>
  <si>
    <t>Site</t>
  </si>
  <si>
    <t>Société</t>
  </si>
  <si>
    <t>Prix unitaire</t>
  </si>
  <si>
    <t>Quantité</t>
  </si>
  <si>
    <t>Total</t>
  </si>
  <si>
    <t>Colonne1</t>
  </si>
  <si>
    <t>Commentaire</t>
  </si>
  <si>
    <t>Périphériques</t>
  </si>
  <si>
    <t>souris sans fils</t>
  </si>
  <si>
    <t>CAPEX</t>
  </si>
  <si>
    <t>Lomé</t>
  </si>
  <si>
    <t>Neemba Togo</t>
  </si>
  <si>
    <t>ThinkPad Bluetooth |Ankou + Charbel + 3 stocks</t>
  </si>
  <si>
    <t>Casques</t>
  </si>
  <si>
    <t>3 LOG + 1(SAF, COM, TEC, AFT, LOC, STOCK)</t>
  </si>
  <si>
    <t xml:space="preserve">Lenovo Ecran 24" </t>
  </si>
  <si>
    <t>Thinkvision E24 / Thinkvision T24i CODIR + DP+ Bernard + Richmond +Kekeli + Michael + Carlos</t>
  </si>
  <si>
    <t>Contrat de Maintenance Imprimante</t>
  </si>
  <si>
    <t>OPEX</t>
  </si>
  <si>
    <t>L’entretien préventif sur site des imprimante / 6 mois</t>
  </si>
  <si>
    <t>Réseau</t>
  </si>
  <si>
    <t>Lien Internet principale site</t>
  </si>
  <si>
    <t>TOGOCOM</t>
  </si>
  <si>
    <t>Liaison LSI 20Mbp/20Mbps</t>
  </si>
  <si>
    <t>Téléphonie</t>
  </si>
  <si>
    <t>Mobile: Téléphones/Accessoires/SAV</t>
  </si>
  <si>
    <t>CODIR</t>
  </si>
  <si>
    <t>Tablette</t>
  </si>
  <si>
    <t>Galaxy Tab A7 LTE/ Ipad 10th generation |PSSR</t>
  </si>
  <si>
    <t>Imprimantes Noir blanc</t>
  </si>
  <si>
    <t>CANON IR 2425i MFP</t>
  </si>
  <si>
    <t>Forfaits mobile</t>
  </si>
  <si>
    <t>Forfait de crédits et data</t>
  </si>
  <si>
    <t>PC</t>
  </si>
  <si>
    <t>Lenovo Thinkpad Série E (PC portable)</t>
  </si>
  <si>
    <t>ThinkPad E14 Gen 4 | 1 Stocks</t>
  </si>
  <si>
    <t>Point d'accès</t>
  </si>
  <si>
    <t>Borne SOPHOS</t>
  </si>
  <si>
    <t>Impression</t>
  </si>
  <si>
    <t>Consommables divers</t>
  </si>
  <si>
    <t>Consommables Informatiques (Toners)</t>
  </si>
  <si>
    <t>Logiciel</t>
  </si>
  <si>
    <t>Renouvellement Sage</t>
  </si>
  <si>
    <t>Accessoires (Disque Dur, Clavier, Souris, Barette mémoire, Batterie, Chargeur PC)</t>
  </si>
  <si>
    <t>Infrastructure</t>
  </si>
  <si>
    <t>Mise en conformité salle serveur</t>
  </si>
  <si>
    <t>(Détecteur d'humidité, Détecteur de fumer et instincteur automatique, vérouille biométrique, caméra, Mise à jour matérielle seveur autocom et accesoires etc...)</t>
  </si>
  <si>
    <t>Equipements</t>
  </si>
  <si>
    <t>Fournisseurs</t>
  </si>
  <si>
    <t>Administrateur Réseau</t>
  </si>
  <si>
    <t>Neemba Bénin</t>
  </si>
  <si>
    <t>Arlit</t>
  </si>
  <si>
    <t>Almetis</t>
  </si>
  <si>
    <t>Adobe Creative Cloud abonnement</t>
  </si>
  <si>
    <t>Bamako</t>
  </si>
  <si>
    <t>Amazon Web Services</t>
  </si>
  <si>
    <t>Antispam</t>
  </si>
  <si>
    <t>Bissau</t>
  </si>
  <si>
    <t>Aprias</t>
  </si>
  <si>
    <t>Applidis</t>
  </si>
  <si>
    <t>Bordeaux</t>
  </si>
  <si>
    <t>Aura Equipements</t>
  </si>
  <si>
    <t>Aragon</t>
  </si>
  <si>
    <t>Neemba France</t>
  </si>
  <si>
    <t>Conakry</t>
  </si>
  <si>
    <t>Avista</t>
  </si>
  <si>
    <t>AS400</t>
  </si>
  <si>
    <t>Neemba guinée</t>
  </si>
  <si>
    <t>Cotonou</t>
  </si>
  <si>
    <t>Axway</t>
  </si>
  <si>
    <t>Autocad LT abonnement</t>
  </si>
  <si>
    <t>Neemba Mali</t>
  </si>
  <si>
    <t>Dakar</t>
  </si>
  <si>
    <t>Bechtle</t>
  </si>
  <si>
    <t>Barco (vidéo projection sans fil)</t>
  </si>
  <si>
    <t>MA Niger</t>
  </si>
  <si>
    <t>Datadev</t>
  </si>
  <si>
    <t>Box 4G  / Wifi</t>
  </si>
  <si>
    <t>Neemba Côte d'Ivoire</t>
  </si>
  <si>
    <t>Mana</t>
  </si>
  <si>
    <t>Decivision</t>
  </si>
  <si>
    <t>CAL Microsoft</t>
  </si>
  <si>
    <t>Mauritrac</t>
  </si>
  <si>
    <t>Maurice</t>
  </si>
  <si>
    <t>Dimo Software</t>
  </si>
  <si>
    <t>Communication: Ligne Colt vers ITC</t>
  </si>
  <si>
    <t>MES</t>
  </si>
  <si>
    <t>Mboro</t>
  </si>
  <si>
    <t>eComputing</t>
  </si>
  <si>
    <t>Communication: Ligne Interne IMS Network</t>
  </si>
  <si>
    <t>Rimtrac</t>
  </si>
  <si>
    <t>Niamey</t>
  </si>
  <si>
    <t>Insight</t>
  </si>
  <si>
    <t>Communication: Satellite</t>
  </si>
  <si>
    <t>Saudequip</t>
  </si>
  <si>
    <t>Nouadhibou</t>
  </si>
  <si>
    <t>Irium Software</t>
  </si>
  <si>
    <t>Sitech</t>
  </si>
  <si>
    <t>Nouakchott</t>
  </si>
  <si>
    <t>Ivelem</t>
  </si>
  <si>
    <t>Dockstation pour PC portable</t>
  </si>
  <si>
    <t>Togo Equipements</t>
  </si>
  <si>
    <t>Ouagadougou Dassasgho</t>
  </si>
  <si>
    <t>Jaguat Networks</t>
  </si>
  <si>
    <t>Ededoc/BSE</t>
  </si>
  <si>
    <t>Tractafric</t>
  </si>
  <si>
    <t>Ouagadougou Gampela</t>
  </si>
  <si>
    <t>Kyriba SEMEA</t>
  </si>
  <si>
    <t>ERP / Serveurs</t>
  </si>
  <si>
    <t>Util Equip</t>
  </si>
  <si>
    <t>San Pedro</t>
  </si>
  <si>
    <t>Linkedin</t>
  </si>
  <si>
    <t>Etudes et prestations diverses</t>
  </si>
  <si>
    <t>Sangalkam</t>
  </si>
  <si>
    <t>Marlink</t>
  </si>
  <si>
    <t>Fibre Optique Vauban/Ferrere</t>
  </si>
  <si>
    <t>Sangaredi</t>
  </si>
  <si>
    <t>Mulesoft</t>
  </si>
  <si>
    <t>Forfaits Data pour box 4G</t>
  </si>
  <si>
    <t>Tasiast</t>
  </si>
  <si>
    <t>Novidys</t>
  </si>
  <si>
    <t>Abidjan (Hub)</t>
  </si>
  <si>
    <t>Orange</t>
  </si>
  <si>
    <t>GoToAssist</t>
  </si>
  <si>
    <t>Wona</t>
  </si>
  <si>
    <t>Prodware</t>
  </si>
  <si>
    <t>Impression: Consommables</t>
  </si>
  <si>
    <t>Yalea</t>
  </si>
  <si>
    <t>Quodagis</t>
  </si>
  <si>
    <t>Impression: Service Toshiba</t>
  </si>
  <si>
    <t>Yopougon</t>
  </si>
  <si>
    <t>Salesforce</t>
  </si>
  <si>
    <t>Interconnexion sites</t>
  </si>
  <si>
    <t>Zouerate</t>
  </si>
  <si>
    <t>Saphelec</t>
  </si>
  <si>
    <t>IPBX (TelNowEdge)</t>
  </si>
  <si>
    <t>Tous</t>
  </si>
  <si>
    <t>Scriba</t>
  </si>
  <si>
    <t>Irium</t>
  </si>
  <si>
    <t>Bouaké</t>
  </si>
  <si>
    <t>ShareGate</t>
  </si>
  <si>
    <t>Lenovo Ecran 22"</t>
  </si>
  <si>
    <t>SolutionData</t>
  </si>
  <si>
    <t>Lenovo Thinkpad Série T (PC portable)</t>
  </si>
  <si>
    <t>Systancia</t>
  </si>
  <si>
    <t>Lenovo Tiny Série M (PC Fixe)</t>
  </si>
  <si>
    <t>Systonic</t>
  </si>
  <si>
    <t>Licences Microsoft (Autres)</t>
  </si>
  <si>
    <t>CANAL BOX</t>
  </si>
  <si>
    <t>Lien Internet secondaire site</t>
  </si>
  <si>
    <t>Telnowedge</t>
  </si>
  <si>
    <t>Ligne CAT</t>
  </si>
  <si>
    <t>Teranga</t>
  </si>
  <si>
    <t>Linkedin Learning abonnement</t>
  </si>
  <si>
    <t>MOOV TOGO</t>
  </si>
  <si>
    <t>Maintenance Cœur de réseau HP 5800</t>
  </si>
  <si>
    <t>Toshiba</t>
  </si>
  <si>
    <t>Maintenance Infrastructure Bordeaux</t>
  </si>
  <si>
    <t>Wiiisdom France SA</t>
  </si>
  <si>
    <t>Maintenance matériel vidéo conférence Poly</t>
  </si>
  <si>
    <t>Maintenance Sage</t>
  </si>
  <si>
    <t>Matrix42</t>
  </si>
  <si>
    <t>Mobile: Abonnement Orange</t>
  </si>
  <si>
    <t>NAS</t>
  </si>
  <si>
    <t>Notilus</t>
  </si>
  <si>
    <t>Office365 (Licence E1)</t>
  </si>
  <si>
    <t>Onduleur</t>
  </si>
  <si>
    <t>Papercut</t>
  </si>
  <si>
    <t>Pentera</t>
  </si>
  <si>
    <t>Phishing: sensibilisation des utilisateurs</t>
  </si>
  <si>
    <t>Pièces détachées (serveurs, PC, onduleurs, mobiles…)</t>
  </si>
  <si>
    <t>SAP Analytics Cloud</t>
  </si>
  <si>
    <t>SAP Business Object</t>
  </si>
  <si>
    <t>SentinelOne</t>
  </si>
  <si>
    <t>Serveur Lenovo SR630</t>
  </si>
  <si>
    <t>Sharepoint: création, migration de sites et accompagements</t>
  </si>
  <si>
    <t>Sophos SG 115</t>
  </si>
  <si>
    <t>Sophos SG 135</t>
  </si>
  <si>
    <t>Sophos SG 210</t>
  </si>
  <si>
    <t>Sophos SG 230</t>
  </si>
  <si>
    <t>Sophos SG 310</t>
  </si>
  <si>
    <t>Sophos SG 430</t>
  </si>
  <si>
    <t>Smart TV</t>
  </si>
  <si>
    <t>Supervision Services et Infrastructure</t>
  </si>
  <si>
    <t>Support Aprias</t>
  </si>
  <si>
    <t>Support Axailan/Novidys</t>
  </si>
  <si>
    <t>Support TelNowEdge</t>
  </si>
  <si>
    <t>Switch</t>
  </si>
  <si>
    <t>Switch Cœur de réseaux Huawei S572036C</t>
  </si>
  <si>
    <t>Switch Cœur de réseaux Huawei S572036C Care</t>
  </si>
  <si>
    <t>Switch Périphérique Huawei S5720-52X-PWR</t>
  </si>
  <si>
    <t>Switch Périphérique Huawei S5720-52X-PWR Care</t>
  </si>
  <si>
    <t>Téléphonie Fixe: IP/DECT/Accessoires</t>
  </si>
  <si>
    <t>ThinPrint</t>
  </si>
  <si>
    <t>Veeam Backup Availability Suite - VUL</t>
  </si>
  <si>
    <t>Veeam Backup Enterprise</t>
  </si>
  <si>
    <t>Vidéo projecteurs</t>
  </si>
  <si>
    <t>VMware vSphere Essential</t>
  </si>
  <si>
    <t>Wifi</t>
  </si>
  <si>
    <t>Windows Server</t>
  </si>
  <si>
    <t>Forfaits mobile (dépassements)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</si>
</sst>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-* #,##0.00\ [$XOF]_-;\-* #,##0.00\ [$XOF]_-;_-* &quot;-&quot;??\ [$XOF]_-;_-@_-"/>
    <numFmt numFmtId="165" formatCode="_-* #,##0.00\ [$€-40C]_-;\-* #,##0.00\ [$€-40C]_-;_-* &quot;-&quot;??\ [$€-40C]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4" fontId="0" fillId="0" borderId="0" xfId="1" applyNumberFormat="1" applyFont="1" applyBorder="1"/>
    <xf numFmtId="165" fontId="0" fillId="0" borderId="0" xfId="1" applyNumberFormat="1" applyFont="1" applyBorder="1"/>
    <xf numFmtId="44" fontId="0" fillId="0" borderId="0" xfId="1" applyFont="1" applyFill="1" applyBorder="1"/>
    <xf numFmtId="44" fontId="0" fillId="0" borderId="0" xfId="1" applyFont="1" applyBorder="1"/>
  </cellXfs>
  <cellStyles count="3">
    <cellStyle name="Currency" xfId="1" builtinId="4"/>
    <cellStyle name="Hyperlink" xfId="2" xr:uid="{00000000-000B-0000-0000-000008000000}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\ [$€-40C]_-;\-* #,##0.00\ [$€-40C]_-;_-* &quot;-&quot;??\ [$€-40C]_-;_-@_-"/>
    </dxf>
    <dxf>
      <numFmt numFmtId="164" formatCode="_-* #,##0.00\ [$XOF]_-;\-* #,##0.00\ [$XOF]_-;_-* &quot;-&quot;??\ [$XOF]_-;_-@_-"/>
    </dxf>
    <dxf>
      <numFmt numFmtId="164" formatCode="_-* #,##0.00\ [$XOF]_-;\-* #,##0.00\ [$XOF]_-;_-* &quot;-&quot;??\ [$XOF]_-;_-@_-"/>
    </dxf>
    <dxf>
      <numFmt numFmtId="164" formatCode="_-* #,##0.00\ [$XOF]_-;\-* #,##0.00\ [$XOF]_-;_-* &quot;-&quot;??\ [$XOF]_-;_-@_-"/>
    </dxf>
    <dxf>
      <numFmt numFmtId="164" formatCode="_-* #,##0.00\ [$XOF]_-;\-* #,##0.00\ [$XOF]_-;_-* &quot;-&quot;??\ [$XOF]_-;_-@_-"/>
    </dxf>
    <dxf>
      <numFmt numFmtId="164" formatCode="_-* #,##0.00\ [$XOF]_-;\-* #,##0.00\ [$XOF]_-;_-* &quot;-&quot;??\ [$XOF]_-;_-@_-"/>
    </dxf>
  </dxfs>
  <tableStyles count="1" defaultTableStyle="TableStyleMedium2" defaultPivotStyle="PivotStyleLight16">
    <tableStyle name="Invisible" pivot="0" table="0" count="0" xr9:uid="{733957AC-3643-452E-9B8F-C4EC5F4B04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560D19-3CCF-4AF1-A968-4957AF214E4C}" name="Tableau13" displayName="Tableau13" ref="A1:K17" totalsRowCount="1">
  <autoFilter ref="A1:K16" xr:uid="{00000000-0009-0000-0100-000001000000}"/>
  <sortState xmlns:xlrd2="http://schemas.microsoft.com/office/spreadsheetml/2017/richdata2" ref="A2:K16">
    <sortCondition ref="G1:G16"/>
  </sortState>
  <tableColumns count="11">
    <tableColumn id="1" xr3:uid="{12BFE43C-86F5-4265-822B-6FD5C1BBD44D}" name="Catégorie"/>
    <tableColumn id="2" xr3:uid="{4613DA01-F727-4F12-8352-4D25A9EEA773}" name="Désignation"/>
    <tableColumn id="16" xr3:uid="{6B03C233-9E91-42E6-8516-5422B5824CE4}" name="OPEX/CAPEX"/>
    <tableColumn id="13" xr3:uid="{5B4F594F-39B5-4382-9D67-76272C4B41D9}" name="Fournisseur"/>
    <tableColumn id="3" xr3:uid="{5A3DDD89-E714-4221-BDEB-6B20E5C0963B}" name="Site"/>
    <tableColumn id="4" xr3:uid="{9D09E490-3679-4A58-B0CE-C218BF83B053}" name="Société"/>
    <tableColumn id="5" xr3:uid="{1ACB7B16-18E1-43DF-9D49-F900590DE662}" name="Prix unitaire" dataDxfId="4" totalsRowDxfId="5"/>
    <tableColumn id="6" xr3:uid="{225C3724-A79C-4DC0-901F-FDFADE53D0A0}" name="Quantité"/>
    <tableColumn id="7" xr3:uid="{8D04D800-3735-4F75-9812-886CC33FFCCD}" name="Total" totalsRowFunction="sum" dataDxfId="2" totalsRowDxfId="3">
      <calculatedColumnFormula>G2*H2</calculatedColumnFormula>
    </tableColumn>
    <tableColumn id="8" xr3:uid="{2ACCEB23-D371-4A03-A705-7A9ABBC88235}" name="Colonne1" dataDxfId="0" totalsRowDxfId="1">
      <calculatedColumnFormula>I2/656</calculatedColumnFormula>
    </tableColumn>
    <tableColumn id="9" xr3:uid="{2AF8A97B-6A51-4A73-B114-34A14FB366CE}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94997C-9C0C-423E-AB2B-05F9E9C6D735}" name="Tableau7" displayName="Tableau7" ref="A1:A12" totalsRowShown="0">
  <autoFilter ref="A1:A12" xr:uid="{F994997C-9C0C-423E-AB2B-05F9E9C6D735}"/>
  <sortState xmlns:xlrd2="http://schemas.microsoft.com/office/spreadsheetml/2017/richdata2" ref="A2:A12">
    <sortCondition ref="A1:A12"/>
  </sortState>
  <tableColumns count="1">
    <tableColumn id="1" xr3:uid="{842CF0B6-132B-4B34-96E0-D7B3353109DA}" name="Catégori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41F842-CF47-4DC0-BC49-CC33DFA21A9B}" name="Tableau8" displayName="Tableau8" ref="B1:B83" totalsRowShown="0">
  <autoFilter ref="B1:B83" xr:uid="{4841F842-CF47-4DC0-BC49-CC33DFA21A9B}"/>
  <sortState xmlns:xlrd2="http://schemas.microsoft.com/office/spreadsheetml/2017/richdata2" ref="B2:B82">
    <sortCondition ref="B1:B82"/>
  </sortState>
  <tableColumns count="1">
    <tableColumn id="1" xr3:uid="{03BECB35-D3DE-48FF-BC0D-340CF90F7724}" name="Equipement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87DABB-59DD-4935-BCD7-063C2F382FC0}" name="Tableau9" displayName="Tableau9" ref="D1:D18" totalsRowShown="0">
  <autoFilter ref="D1:D18" xr:uid="{1887DABB-59DD-4935-BCD7-063C2F382FC0}"/>
  <sortState xmlns:xlrd2="http://schemas.microsoft.com/office/spreadsheetml/2017/richdata2" ref="D2:D18">
    <sortCondition ref="D1:D18"/>
  </sortState>
  <tableColumns count="1">
    <tableColumn id="1" xr3:uid="{DB3A194E-3C1B-43A1-9EF7-694629F7E9AA}" name="Société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A6AF5A-4C9F-496D-BE3F-6C270F798CF4}" name="Tableau10" displayName="Tableau10" ref="E1:E28" totalsRowShown="0">
  <autoFilter ref="E1:E28" xr:uid="{FFA6AF5A-4C9F-496D-BE3F-6C270F798CF4}"/>
  <tableColumns count="1">
    <tableColumn id="1" xr3:uid="{D211C3DC-5116-40C1-B7DD-9C906DCAED82}" name="Site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A89A12-CA36-48A5-ABD0-707A01E8E489}" name="Tableau11" displayName="Tableau11" ref="G1:G38" totalsRowShown="0">
  <autoFilter ref="G1:G38" xr:uid="{CBA89A12-CA36-48A5-ABD0-707A01E8E489}"/>
  <sortState xmlns:xlrd2="http://schemas.microsoft.com/office/spreadsheetml/2017/richdata2" ref="G2:G38">
    <sortCondition ref="G1:G38"/>
  </sortState>
  <tableColumns count="1">
    <tableColumn id="1" xr3:uid="{BB978DEA-C8B6-4CE6-847F-9E936FD9193E}" name="Fournisseu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F67F-61AD-44D4-8D3C-9233BAB17EF8}">
  <dimension ref="A1:K43"/>
  <sheetViews>
    <sheetView tabSelected="1" zoomScale="115" zoomScaleNormal="115" workbookViewId="0">
      <selection activeCell="G6" sqref="G6"/>
    </sheetView>
  </sheetViews>
  <sheetFormatPr defaultColWidth="11.42578125" defaultRowHeight="15" customHeight="1"/>
  <cols>
    <col min="1" max="1" width="16.28515625" customWidth="1"/>
    <col min="2" max="2" width="53.5703125" customWidth="1"/>
    <col min="3" max="3" width="12.5703125" customWidth="1"/>
    <col min="4" max="4" width="13.140625" customWidth="1"/>
    <col min="5" max="5" width="9.140625" customWidth="1"/>
    <col min="6" max="6" width="16.140625" customWidth="1"/>
    <col min="7" max="7" width="20.42578125" style="1" customWidth="1"/>
    <col min="8" max="8" width="9.85546875" customWidth="1"/>
    <col min="9" max="10" width="19" style="1" customWidth="1"/>
    <col min="11" max="11" width="75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 s="2">
        <v>12000</v>
      </c>
      <c r="H2">
        <v>5</v>
      </c>
      <c r="I2" s="2">
        <f>G2*H2</f>
        <v>60000</v>
      </c>
      <c r="J2" s="3">
        <f>I2/656</f>
        <v>91.463414634146346</v>
      </c>
      <c r="K2" t="s">
        <v>16</v>
      </c>
    </row>
    <row r="3" spans="1:11">
      <c r="A3" t="s">
        <v>11</v>
      </c>
      <c r="B3" t="s">
        <v>17</v>
      </c>
      <c r="C3" t="s">
        <v>13</v>
      </c>
      <c r="E3" t="s">
        <v>14</v>
      </c>
      <c r="F3" t="s">
        <v>15</v>
      </c>
      <c r="G3" s="2">
        <v>20000</v>
      </c>
      <c r="H3">
        <v>8</v>
      </c>
      <c r="I3" s="2">
        <f>G3*H3</f>
        <v>160000</v>
      </c>
      <c r="J3" s="3">
        <f>I3/656</f>
        <v>243.90243902439025</v>
      </c>
      <c r="K3" t="s">
        <v>18</v>
      </c>
    </row>
    <row r="4" spans="1:11">
      <c r="A4" t="s">
        <v>11</v>
      </c>
      <c r="B4" t="s">
        <v>19</v>
      </c>
      <c r="C4" t="s">
        <v>13</v>
      </c>
      <c r="E4" t="s">
        <v>14</v>
      </c>
      <c r="F4" t="s">
        <v>15</v>
      </c>
      <c r="G4" s="2">
        <v>200000</v>
      </c>
      <c r="H4">
        <v>14</v>
      </c>
      <c r="I4" s="2">
        <f>G4*H4</f>
        <v>2800000</v>
      </c>
      <c r="J4" s="3">
        <f>I4/656</f>
        <v>4268.292682926829</v>
      </c>
      <c r="K4" t="s">
        <v>20</v>
      </c>
    </row>
    <row r="5" spans="1:11">
      <c r="A5" t="s">
        <v>11</v>
      </c>
      <c r="B5" t="s">
        <v>21</v>
      </c>
      <c r="C5" t="s">
        <v>22</v>
      </c>
      <c r="E5" t="s">
        <v>14</v>
      </c>
      <c r="F5" t="s">
        <v>15</v>
      </c>
      <c r="G5" s="2">
        <v>75000</v>
      </c>
      <c r="H5">
        <v>2</v>
      </c>
      <c r="I5" s="2">
        <f>G5*H5</f>
        <v>150000</v>
      </c>
      <c r="J5" s="3">
        <f>I5/656</f>
        <v>228.65853658536585</v>
      </c>
      <c r="K5" t="s">
        <v>23</v>
      </c>
    </row>
    <row r="6" spans="1:11">
      <c r="A6" t="s">
        <v>24</v>
      </c>
      <c r="B6" t="s">
        <v>25</v>
      </c>
      <c r="C6" t="s">
        <v>22</v>
      </c>
      <c r="D6" t="s">
        <v>26</v>
      </c>
      <c r="E6" t="s">
        <v>14</v>
      </c>
      <c r="F6" t="s">
        <v>15</v>
      </c>
      <c r="G6" s="2">
        <v>440000</v>
      </c>
      <c r="H6">
        <v>12</v>
      </c>
      <c r="I6" s="2">
        <f>G6*H6</f>
        <v>5280000</v>
      </c>
      <c r="J6" s="3">
        <f>I6/656</f>
        <v>8048.7804878048782</v>
      </c>
      <c r="K6" t="s">
        <v>27</v>
      </c>
    </row>
    <row r="7" spans="1:11">
      <c r="A7" t="s">
        <v>28</v>
      </c>
      <c r="B7" t="s">
        <v>29</v>
      </c>
      <c r="C7" t="s">
        <v>13</v>
      </c>
      <c r="E7" t="s">
        <v>14</v>
      </c>
      <c r="F7" t="s">
        <v>15</v>
      </c>
      <c r="G7" s="2">
        <v>500000</v>
      </c>
      <c r="H7">
        <v>8</v>
      </c>
      <c r="I7" s="2">
        <f>G7*H7</f>
        <v>4000000</v>
      </c>
      <c r="J7" s="3">
        <f>I7/656</f>
        <v>6097.5609756097565</v>
      </c>
      <c r="K7" t="s">
        <v>30</v>
      </c>
    </row>
    <row r="8" spans="1:11">
      <c r="A8" t="s">
        <v>11</v>
      </c>
      <c r="B8" t="s">
        <v>31</v>
      </c>
      <c r="C8" t="s">
        <v>13</v>
      </c>
      <c r="E8" t="s">
        <v>14</v>
      </c>
      <c r="F8" t="s">
        <v>15</v>
      </c>
      <c r="G8" s="2">
        <v>500000</v>
      </c>
      <c r="H8">
        <v>1</v>
      </c>
      <c r="I8" s="2">
        <f>G8*H8</f>
        <v>500000</v>
      </c>
      <c r="J8" s="3">
        <f>I8/656</f>
        <v>762.19512195121956</v>
      </c>
      <c r="K8" t="s">
        <v>32</v>
      </c>
    </row>
    <row r="9" spans="1:11">
      <c r="A9" t="s">
        <v>11</v>
      </c>
      <c r="B9" t="s">
        <v>33</v>
      </c>
      <c r="C9" t="s">
        <v>13</v>
      </c>
      <c r="E9" t="s">
        <v>14</v>
      </c>
      <c r="F9" t="s">
        <v>15</v>
      </c>
      <c r="G9" s="2">
        <v>550000</v>
      </c>
      <c r="H9">
        <v>1</v>
      </c>
      <c r="I9" s="2">
        <f>G9*H9</f>
        <v>550000</v>
      </c>
      <c r="J9" s="3">
        <f>I9/656</f>
        <v>838.41463414634143</v>
      </c>
      <c r="K9" t="s">
        <v>34</v>
      </c>
    </row>
    <row r="10" spans="1:11">
      <c r="A10" t="s">
        <v>28</v>
      </c>
      <c r="B10" t="s">
        <v>35</v>
      </c>
      <c r="C10" t="s">
        <v>22</v>
      </c>
      <c r="D10" t="s">
        <v>26</v>
      </c>
      <c r="E10" t="s">
        <v>14</v>
      </c>
      <c r="F10" t="s">
        <v>15</v>
      </c>
      <c r="G10" s="2">
        <v>615000</v>
      </c>
      <c r="H10">
        <v>12</v>
      </c>
      <c r="I10" s="2">
        <f>G10*H10</f>
        <v>7380000</v>
      </c>
      <c r="J10" s="3">
        <f>I10/656</f>
        <v>11250</v>
      </c>
      <c r="K10" t="s">
        <v>36</v>
      </c>
    </row>
    <row r="11" spans="1:11">
      <c r="A11" t="s">
        <v>37</v>
      </c>
      <c r="B11" t="s">
        <v>38</v>
      </c>
      <c r="C11" t="s">
        <v>13</v>
      </c>
      <c r="E11" t="s">
        <v>14</v>
      </c>
      <c r="F11" t="s">
        <v>15</v>
      </c>
      <c r="G11" s="2">
        <v>720000</v>
      </c>
      <c r="H11">
        <v>1</v>
      </c>
      <c r="I11" s="2">
        <f>G11*H11</f>
        <v>720000</v>
      </c>
      <c r="J11" s="3">
        <f>I11/656</f>
        <v>1097.560975609756</v>
      </c>
      <c r="K11" t="s">
        <v>39</v>
      </c>
    </row>
    <row r="12" spans="1:11">
      <c r="A12" t="s">
        <v>24</v>
      </c>
      <c r="B12" t="s">
        <v>40</v>
      </c>
      <c r="C12" t="s">
        <v>13</v>
      </c>
      <c r="E12" t="s">
        <v>14</v>
      </c>
      <c r="F12" t="s">
        <v>15</v>
      </c>
      <c r="G12" s="2">
        <v>1000000</v>
      </c>
      <c r="H12">
        <v>2</v>
      </c>
      <c r="I12" s="2">
        <f>G12*H12</f>
        <v>2000000</v>
      </c>
      <c r="J12" s="3">
        <f>I12/656</f>
        <v>3048.7804878048782</v>
      </c>
      <c r="K12" t="s">
        <v>41</v>
      </c>
    </row>
    <row r="13" spans="1:11">
      <c r="A13" t="s">
        <v>42</v>
      </c>
      <c r="B13" t="s">
        <v>43</v>
      </c>
      <c r="C13" t="s">
        <v>22</v>
      </c>
      <c r="E13" t="s">
        <v>14</v>
      </c>
      <c r="F13" t="s">
        <v>15</v>
      </c>
      <c r="G13" s="2">
        <v>1800000</v>
      </c>
      <c r="H13">
        <v>2</v>
      </c>
      <c r="I13" s="2">
        <f>G13*H13</f>
        <v>3600000</v>
      </c>
      <c r="J13" s="3">
        <f>I13/656</f>
        <v>5487.8048780487807</v>
      </c>
      <c r="K13" t="s">
        <v>44</v>
      </c>
    </row>
    <row r="14" spans="1:11">
      <c r="A14" t="s">
        <v>45</v>
      </c>
      <c r="B14" t="s">
        <v>46</v>
      </c>
      <c r="C14" t="s">
        <v>22</v>
      </c>
      <c r="E14" t="s">
        <v>14</v>
      </c>
      <c r="F14" t="s">
        <v>15</v>
      </c>
      <c r="G14" s="2">
        <v>2500000</v>
      </c>
      <c r="H14">
        <v>1</v>
      </c>
      <c r="I14" s="2">
        <f>G14*H14</f>
        <v>2500000</v>
      </c>
      <c r="J14" s="3">
        <f>I14/656</f>
        <v>3810.9756097560976</v>
      </c>
    </row>
    <row r="15" spans="1:11">
      <c r="A15" t="s">
        <v>37</v>
      </c>
      <c r="B15" t="s">
        <v>47</v>
      </c>
      <c r="C15" t="s">
        <v>22</v>
      </c>
      <c r="E15" t="s">
        <v>14</v>
      </c>
      <c r="F15" t="s">
        <v>15</v>
      </c>
      <c r="G15" s="2">
        <v>3000000</v>
      </c>
      <c r="H15">
        <v>1</v>
      </c>
      <c r="I15" s="2">
        <f>G15*H15</f>
        <v>3000000</v>
      </c>
      <c r="J15" s="3">
        <f>I15/656</f>
        <v>4573.1707317073169</v>
      </c>
    </row>
    <row r="16" spans="1:11">
      <c r="A16" t="s">
        <v>48</v>
      </c>
      <c r="B16" t="s">
        <v>49</v>
      </c>
      <c r="C16" t="s">
        <v>13</v>
      </c>
      <c r="E16" t="s">
        <v>14</v>
      </c>
      <c r="F16" t="s">
        <v>15</v>
      </c>
      <c r="G16" s="2">
        <v>10000000</v>
      </c>
      <c r="H16">
        <v>1</v>
      </c>
      <c r="I16" s="2">
        <f>G16*H16</f>
        <v>10000000</v>
      </c>
      <c r="J16" s="3">
        <f>I16/656</f>
        <v>15243.90243902439</v>
      </c>
      <c r="K16" t="s">
        <v>50</v>
      </c>
    </row>
    <row r="17" spans="6:9">
      <c r="I17" s="1">
        <f>SUBTOTAL(109,Tableau13[Total])</f>
        <v>42700000</v>
      </c>
    </row>
    <row r="18" spans="6:9">
      <c r="F18" s="4"/>
      <c r="H18" s="4"/>
    </row>
    <row r="19" spans="6:9">
      <c r="F19" s="5"/>
      <c r="H19" s="5"/>
    </row>
    <row r="20" spans="6:9"/>
    <row r="21" spans="6:9"/>
    <row r="22" spans="6:9">
      <c r="H22" s="1"/>
    </row>
    <row r="23" spans="6:9"/>
    <row r="24" spans="6:9"/>
    <row r="25" spans="6:9"/>
    <row r="26" spans="6:9"/>
    <row r="27" spans="6:9"/>
    <row r="28" spans="6:9"/>
    <row r="29" spans="6:9"/>
    <row r="30" spans="6:9"/>
    <row r="31" spans="6:9"/>
    <row r="32" spans="6:9"/>
    <row r="33"/>
    <row r="34"/>
    <row r="35"/>
    <row r="36"/>
    <row r="37"/>
    <row r="38"/>
    <row r="39"/>
    <row r="40"/>
    <row r="41"/>
    <row r="42"/>
    <row r="43"/>
  </sheetData>
  <phoneticPr fontId="3" type="noConversion"/>
  <dataValidations count="3">
    <dataValidation type="list" allowBlank="1" showInputMessage="1" showErrorMessage="1" sqref="B20:C20 B18:C18 B2:C16" xr:uid="{2AD92B26-7453-4CF2-850A-8CB54F1FA4CE}">
      <formula1>Equipements</formula1>
    </dataValidation>
    <dataValidation type="list" allowBlank="1" showInputMessage="1" showErrorMessage="1" sqref="F2:F16" xr:uid="{67C4C833-C869-4696-BC20-DEBFCAB9BCAD}">
      <formula1>Société</formula1>
    </dataValidation>
    <dataValidation type="list" allowBlank="1" showInputMessage="1" showErrorMessage="1" sqref="E2:E16" xr:uid="{3DAB5403-922D-4DEC-ADC8-CA921F72A729}">
      <formula1>Site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ABCFDC-DDA7-4BE2-8B1F-7DB1D3C7E34C}">
          <x14:formula1>
            <xm:f>Références!$G:$G</xm:f>
          </x14:formula1>
          <xm:sqref>D18:D54 D2:D16</xm:sqref>
        </x14:dataValidation>
        <x14:dataValidation type="list" allowBlank="1" showInputMessage="1" showErrorMessage="1" xr:uid="{3B7A1EAF-2179-43AF-997C-F6E2BE5307BC}">
          <x14:formula1>
            <xm:f>Références!$A$1:$A$20</xm:f>
          </x14:formula1>
          <xm:sqref>A2:A16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"/>
  <sheetViews>
    <sheetView topLeftCell="A22" workbookViewId="0">
      <selection activeCell="B48" sqref="B48"/>
    </sheetView>
  </sheetViews>
  <sheetFormatPr defaultColWidth="11.42578125" defaultRowHeight="15"/>
  <cols>
    <col min="1" max="1" width="23" customWidth="1"/>
    <col min="2" max="2" width="52.140625" customWidth="1"/>
    <col min="3" max="3" width="9.28515625" customWidth="1"/>
    <col min="4" max="4" width="21.42578125" customWidth="1"/>
    <col min="5" max="5" width="22.7109375" customWidth="1"/>
    <col min="7" max="7" width="18.140625" customWidth="1"/>
  </cols>
  <sheetData>
    <row r="1" spans="1:7">
      <c r="A1" t="s">
        <v>0</v>
      </c>
      <c r="B1" t="s">
        <v>51</v>
      </c>
      <c r="D1" t="s">
        <v>5</v>
      </c>
      <c r="E1" t="s">
        <v>4</v>
      </c>
      <c r="G1" t="s">
        <v>52</v>
      </c>
    </row>
    <row r="2" spans="1:7">
      <c r="A2" t="s">
        <v>45</v>
      </c>
      <c r="B2" t="s">
        <v>53</v>
      </c>
      <c r="D2" t="s">
        <v>54</v>
      </c>
      <c r="E2" t="s">
        <v>55</v>
      </c>
      <c r="G2" t="s">
        <v>56</v>
      </c>
    </row>
    <row r="3" spans="1:7">
      <c r="A3" t="s">
        <v>24</v>
      </c>
      <c r="B3" t="s">
        <v>57</v>
      </c>
      <c r="E3" t="s">
        <v>58</v>
      </c>
      <c r="G3" t="s">
        <v>59</v>
      </c>
    </row>
    <row r="4" spans="1:7">
      <c r="A4" t="s">
        <v>42</v>
      </c>
      <c r="B4" t="s">
        <v>60</v>
      </c>
      <c r="E4" t="s">
        <v>61</v>
      </c>
      <c r="G4" t="s">
        <v>62</v>
      </c>
    </row>
    <row r="5" spans="1:7">
      <c r="A5" t="s">
        <v>37</v>
      </c>
      <c r="B5" t="s">
        <v>63</v>
      </c>
      <c r="E5" t="s">
        <v>64</v>
      </c>
      <c r="G5" t="s">
        <v>65</v>
      </c>
    </row>
    <row r="6" spans="1:7">
      <c r="A6" t="s">
        <v>11</v>
      </c>
      <c r="B6" t="s">
        <v>66</v>
      </c>
      <c r="D6" t="s">
        <v>67</v>
      </c>
      <c r="E6" t="s">
        <v>68</v>
      </c>
      <c r="G6" t="s">
        <v>69</v>
      </c>
    </row>
    <row r="7" spans="1:7">
      <c r="A7" t="s">
        <v>28</v>
      </c>
      <c r="B7" t="s">
        <v>70</v>
      </c>
      <c r="D7" t="s">
        <v>71</v>
      </c>
      <c r="E7" t="s">
        <v>72</v>
      </c>
      <c r="G7" t="s">
        <v>73</v>
      </c>
    </row>
    <row r="8" spans="1:7">
      <c r="A8" t="s">
        <v>48</v>
      </c>
      <c r="B8" t="s">
        <v>74</v>
      </c>
      <c r="D8" t="s">
        <v>75</v>
      </c>
      <c r="E8" t="s">
        <v>76</v>
      </c>
      <c r="G8" t="s">
        <v>77</v>
      </c>
    </row>
    <row r="9" spans="1:7">
      <c r="B9" t="s">
        <v>78</v>
      </c>
      <c r="D9" t="s">
        <v>79</v>
      </c>
      <c r="E9" t="s">
        <v>14</v>
      </c>
      <c r="G9" t="s">
        <v>80</v>
      </c>
    </row>
    <row r="10" spans="1:7">
      <c r="B10" t="s">
        <v>81</v>
      </c>
      <c r="D10" t="s">
        <v>82</v>
      </c>
      <c r="E10" t="s">
        <v>83</v>
      </c>
      <c r="G10" t="s">
        <v>84</v>
      </c>
    </row>
    <row r="11" spans="1:7">
      <c r="B11" t="s">
        <v>85</v>
      </c>
      <c r="D11" t="s">
        <v>86</v>
      </c>
      <c r="E11" t="s">
        <v>87</v>
      </c>
      <c r="G11" t="s">
        <v>88</v>
      </c>
    </row>
    <row r="12" spans="1:7">
      <c r="B12" t="s">
        <v>89</v>
      </c>
      <c r="D12" t="s">
        <v>90</v>
      </c>
      <c r="E12" t="s">
        <v>91</v>
      </c>
      <c r="G12" t="s">
        <v>92</v>
      </c>
    </row>
    <row r="13" spans="1:7">
      <c r="B13" t="s">
        <v>93</v>
      </c>
      <c r="D13" t="s">
        <v>94</v>
      </c>
      <c r="E13" t="s">
        <v>95</v>
      </c>
      <c r="G13" t="s">
        <v>96</v>
      </c>
    </row>
    <row r="14" spans="1:7">
      <c r="B14" t="s">
        <v>97</v>
      </c>
      <c r="D14" t="s">
        <v>98</v>
      </c>
      <c r="E14" t="s">
        <v>99</v>
      </c>
      <c r="G14" t="s">
        <v>100</v>
      </c>
    </row>
    <row r="15" spans="1:7">
      <c r="B15" t="s">
        <v>43</v>
      </c>
      <c r="D15" t="s">
        <v>101</v>
      </c>
      <c r="E15" t="s">
        <v>102</v>
      </c>
      <c r="G15" t="s">
        <v>103</v>
      </c>
    </row>
    <row r="16" spans="1:7">
      <c r="B16" t="s">
        <v>104</v>
      </c>
      <c r="D16" t="s">
        <v>105</v>
      </c>
      <c r="E16" t="s">
        <v>106</v>
      </c>
      <c r="G16" t="s">
        <v>107</v>
      </c>
    </row>
    <row r="17" spans="2:7">
      <c r="B17" t="s">
        <v>108</v>
      </c>
      <c r="D17" t="s">
        <v>109</v>
      </c>
      <c r="E17" t="s">
        <v>110</v>
      </c>
      <c r="G17" t="s">
        <v>111</v>
      </c>
    </row>
    <row r="18" spans="2:7">
      <c r="B18" t="s">
        <v>112</v>
      </c>
      <c r="D18" t="s">
        <v>113</v>
      </c>
      <c r="E18" t="s">
        <v>114</v>
      </c>
      <c r="G18" t="s">
        <v>115</v>
      </c>
    </row>
    <row r="19" spans="2:7">
      <c r="B19" t="s">
        <v>116</v>
      </c>
      <c r="E19" t="s">
        <v>117</v>
      </c>
      <c r="G19" t="s">
        <v>118</v>
      </c>
    </row>
    <row r="20" spans="2:7">
      <c r="B20" t="s">
        <v>119</v>
      </c>
      <c r="E20" t="s">
        <v>120</v>
      </c>
      <c r="G20" t="s">
        <v>121</v>
      </c>
    </row>
    <row r="21" spans="2:7">
      <c r="B21" t="s">
        <v>122</v>
      </c>
      <c r="E21" t="s">
        <v>123</v>
      </c>
      <c r="G21" t="s">
        <v>124</v>
      </c>
    </row>
    <row r="22" spans="2:7">
      <c r="B22" t="s">
        <v>35</v>
      </c>
      <c r="E22" t="s">
        <v>125</v>
      </c>
      <c r="G22" t="s">
        <v>126</v>
      </c>
    </row>
    <row r="23" spans="2:7">
      <c r="B23" t="s">
        <v>127</v>
      </c>
      <c r="E23" t="s">
        <v>128</v>
      </c>
      <c r="G23" t="s">
        <v>129</v>
      </c>
    </row>
    <row r="24" spans="2:7">
      <c r="B24" t="s">
        <v>130</v>
      </c>
      <c r="E24" t="s">
        <v>131</v>
      </c>
      <c r="G24" t="s">
        <v>132</v>
      </c>
    </row>
    <row r="25" spans="2:7">
      <c r="B25" t="s">
        <v>133</v>
      </c>
      <c r="E25" t="s">
        <v>134</v>
      </c>
      <c r="G25" t="s">
        <v>135</v>
      </c>
    </row>
    <row r="26" spans="2:7">
      <c r="B26" t="s">
        <v>136</v>
      </c>
      <c r="E26" t="s">
        <v>137</v>
      </c>
      <c r="G26" t="s">
        <v>138</v>
      </c>
    </row>
    <row r="27" spans="2:7">
      <c r="B27" t="s">
        <v>139</v>
      </c>
      <c r="E27" t="s">
        <v>140</v>
      </c>
      <c r="G27" t="s">
        <v>141</v>
      </c>
    </row>
    <row r="28" spans="2:7">
      <c r="B28" t="s">
        <v>142</v>
      </c>
      <c r="E28" t="s">
        <v>143</v>
      </c>
      <c r="G28" t="s">
        <v>144</v>
      </c>
    </row>
    <row r="29" spans="2:7">
      <c r="B29" t="s">
        <v>145</v>
      </c>
      <c r="G29" t="s">
        <v>146</v>
      </c>
    </row>
    <row r="30" spans="2:7">
      <c r="B30" t="s">
        <v>147</v>
      </c>
      <c r="G30" t="s">
        <v>148</v>
      </c>
    </row>
    <row r="31" spans="2:7">
      <c r="B31" t="s">
        <v>149</v>
      </c>
      <c r="G31" t="s">
        <v>150</v>
      </c>
    </row>
    <row r="32" spans="2:7">
      <c r="B32" t="s">
        <v>151</v>
      </c>
      <c r="G32" t="s">
        <v>152</v>
      </c>
    </row>
    <row r="33" spans="2:7">
      <c r="B33" t="s">
        <v>25</v>
      </c>
      <c r="G33" t="s">
        <v>26</v>
      </c>
    </row>
    <row r="34" spans="2:7">
      <c r="B34" t="s">
        <v>153</v>
      </c>
      <c r="G34" t="s">
        <v>154</v>
      </c>
    </row>
    <row r="35" spans="2:7">
      <c r="B35" t="s">
        <v>155</v>
      </c>
      <c r="G35" t="s">
        <v>156</v>
      </c>
    </row>
    <row r="36" spans="2:7">
      <c r="B36" t="s">
        <v>157</v>
      </c>
      <c r="G36" t="s">
        <v>158</v>
      </c>
    </row>
    <row r="37" spans="2:7">
      <c r="B37" t="s">
        <v>159</v>
      </c>
      <c r="G37" t="s">
        <v>160</v>
      </c>
    </row>
    <row r="38" spans="2:7">
      <c r="B38" t="s">
        <v>161</v>
      </c>
      <c r="G38" t="s">
        <v>162</v>
      </c>
    </row>
    <row r="39" spans="2:7">
      <c r="B39" t="s">
        <v>163</v>
      </c>
    </row>
    <row r="40" spans="2:7">
      <c r="B40" t="s">
        <v>164</v>
      </c>
    </row>
    <row r="41" spans="2:7">
      <c r="B41" t="s">
        <v>165</v>
      </c>
    </row>
    <row r="42" spans="2:7">
      <c r="B42" t="s">
        <v>49</v>
      </c>
    </row>
    <row r="43" spans="2:7">
      <c r="B43" t="s">
        <v>166</v>
      </c>
    </row>
    <row r="44" spans="2:7">
      <c r="B44" t="s">
        <v>29</v>
      </c>
    </row>
    <row r="45" spans="2:7">
      <c r="B45" t="s">
        <v>167</v>
      </c>
    </row>
    <row r="46" spans="2:7">
      <c r="B46" t="s">
        <v>168</v>
      </c>
    </row>
    <row r="47" spans="2:7">
      <c r="B47" t="s">
        <v>169</v>
      </c>
    </row>
    <row r="48" spans="2:7">
      <c r="B48" t="s">
        <v>170</v>
      </c>
    </row>
    <row r="49" spans="2:2">
      <c r="B49" t="s">
        <v>171</v>
      </c>
    </row>
    <row r="50" spans="2:2">
      <c r="B50" t="s">
        <v>172</v>
      </c>
    </row>
    <row r="51" spans="2:2">
      <c r="B51" t="s">
        <v>173</v>
      </c>
    </row>
    <row r="52" spans="2:2">
      <c r="B52" t="s">
        <v>174</v>
      </c>
    </row>
    <row r="53" spans="2:2">
      <c r="B53" t="s">
        <v>46</v>
      </c>
    </row>
    <row r="54" spans="2:2">
      <c r="B54" t="s">
        <v>175</v>
      </c>
    </row>
    <row r="55" spans="2:2">
      <c r="B55" t="s">
        <v>176</v>
      </c>
    </row>
    <row r="56" spans="2:2">
      <c r="B56" t="s">
        <v>177</v>
      </c>
    </row>
    <row r="57" spans="2:2">
      <c r="B57" t="s">
        <v>178</v>
      </c>
    </row>
    <row r="58" spans="2:2">
      <c r="B58" t="s">
        <v>179</v>
      </c>
    </row>
    <row r="59" spans="2:2">
      <c r="B59" t="s">
        <v>180</v>
      </c>
    </row>
    <row r="60" spans="2:2">
      <c r="B60" t="s">
        <v>181</v>
      </c>
    </row>
    <row r="61" spans="2:2">
      <c r="B61" t="s">
        <v>182</v>
      </c>
    </row>
    <row r="62" spans="2:2">
      <c r="B62" t="s">
        <v>183</v>
      </c>
    </row>
    <row r="63" spans="2:2">
      <c r="B63" t="s">
        <v>184</v>
      </c>
    </row>
    <row r="64" spans="2:2">
      <c r="B64" t="s">
        <v>185</v>
      </c>
    </row>
    <row r="65" spans="2:2">
      <c r="B65" t="s">
        <v>186</v>
      </c>
    </row>
    <row r="66" spans="2:2">
      <c r="B66" t="s">
        <v>187</v>
      </c>
    </row>
    <row r="67" spans="2:2">
      <c r="B67" t="s">
        <v>188</v>
      </c>
    </row>
    <row r="68" spans="2:2">
      <c r="B68" t="s">
        <v>189</v>
      </c>
    </row>
    <row r="69" spans="2:2">
      <c r="B69" t="s">
        <v>190</v>
      </c>
    </row>
    <row r="70" spans="2:2">
      <c r="B70" t="s">
        <v>191</v>
      </c>
    </row>
    <row r="71" spans="2:2">
      <c r="B71" t="s">
        <v>192</v>
      </c>
    </row>
    <row r="72" spans="2:2">
      <c r="B72" t="s">
        <v>193</v>
      </c>
    </row>
    <row r="73" spans="2:2">
      <c r="B73" t="s">
        <v>194</v>
      </c>
    </row>
    <row r="74" spans="2:2">
      <c r="B74" t="s">
        <v>195</v>
      </c>
    </row>
    <row r="75" spans="2:2">
      <c r="B75" t="s">
        <v>196</v>
      </c>
    </row>
    <row r="76" spans="2:2">
      <c r="B76" t="s">
        <v>197</v>
      </c>
    </row>
    <row r="77" spans="2:2">
      <c r="B77" t="s">
        <v>198</v>
      </c>
    </row>
    <row r="78" spans="2:2">
      <c r="B78" t="s">
        <v>199</v>
      </c>
    </row>
    <row r="79" spans="2:2">
      <c r="B79" t="s">
        <v>200</v>
      </c>
    </row>
    <row r="80" spans="2:2">
      <c r="B80" t="s">
        <v>201</v>
      </c>
    </row>
    <row r="81" spans="2:2">
      <c r="B81" t="s">
        <v>202</v>
      </c>
    </row>
    <row r="82" spans="2:2">
      <c r="B82" t="s">
        <v>203</v>
      </c>
    </row>
    <row r="83" spans="2:2">
      <c r="B83" t="s">
        <v>204</v>
      </c>
    </row>
  </sheetData>
  <sortState xmlns:xlrd2="http://schemas.microsoft.com/office/spreadsheetml/2017/richdata2" ref="B2:B64">
    <sortCondition ref="B2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5C355AC65CB84696BFE19DDDA51B42" ma:contentTypeVersion="18" ma:contentTypeDescription="Crée un document." ma:contentTypeScope="" ma:versionID="67313cf6707111920207b204d4ac682d">
  <xsd:schema xmlns:xsd="http://www.w3.org/2001/XMLSchema" xmlns:xs="http://www.w3.org/2001/XMLSchema" xmlns:p="http://schemas.microsoft.com/office/2006/metadata/properties" xmlns:ns2="26c3bc49-34c6-423b-b096-a2c5b053ba05" xmlns:ns3="1e9d2635-7f2c-40a1-8cf5-b6cb8e9ab777" xmlns:ns4="4da54098-0515-4621-a4ef-9bd262befad0" targetNamespace="http://schemas.microsoft.com/office/2006/metadata/properties" ma:root="true" ma:fieldsID="b37fb3642a19e34a51c0dd5987dd11fb" ns2:_="" ns3:_="" ns4:_="">
    <xsd:import namespace="26c3bc49-34c6-423b-b096-a2c5b053ba05"/>
    <xsd:import namespace="1e9d2635-7f2c-40a1-8cf5-b6cb8e9ab777"/>
    <xsd:import namespace="4da54098-0515-4621-a4ef-9bd262befa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Ann_x00e9_e" minOccurs="0"/>
                <xsd:element ref="ns2:Soci_x00e9_t_x00e9_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3bc49-34c6-423b-b096-a2c5b05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Ann_x00e9_e" ma:index="12" nillable="true" ma:displayName="Année" ma:format="Dropdown" ma:internalName="Ann_x00e9_e">
      <xsd:simpleType>
        <xsd:restriction base="dms:Choice">
          <xsd:enumeration value="2018"/>
          <xsd:enumeration value="2019"/>
          <xsd:enumeration value="2021"/>
          <xsd:enumeration value="2020"/>
          <xsd:enumeration value="2022"/>
          <xsd:enumeration value="2023"/>
        </xsd:restriction>
      </xsd:simpleType>
    </xsd:element>
    <xsd:element name="Soci_x00e9_t_x00e9_" ma:index="13" nillable="true" ma:displayName="Société" ma:format="Dropdown" ma:internalName="Soci_x00e9_t_x00e9_">
      <xsd:simpleType>
        <xsd:restriction base="dms:Choice">
          <xsd:enumeration value="Neemba Bénin"/>
          <xsd:enumeration value="Neemba Burkina"/>
          <xsd:enumeration value="Neemba Côte d'Ivoire"/>
          <xsd:enumeration value="Neemba France"/>
          <xsd:enumeration value="Neemba Guinée"/>
          <xsd:enumeration value="Neemba International"/>
          <xsd:enumeration value="Neemba Mali"/>
          <xsd:enumeration value="Neemba Mauritanie"/>
          <xsd:enumeration value="Neemba Niger"/>
          <xsd:enumeration value="Neemba Sénégal"/>
          <xsd:enumeration value="Neemba Togo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11e33b3-870e-4636-a9cd-324110e9a3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d2635-7f2c-40a1-8cf5-b6cb8e9ab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54098-0515-4621-a4ef-9bd262befad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af21de4-a971-4b43-9982-a628b8933055}" ma:internalName="TaxCatchAll" ma:showField="CatchAllData" ma:web="1e9d2635-7f2c-40a1-8cf5-b6cb8e9ab7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e9d2635-7f2c-40a1-8cf5-b6cb8e9ab777">
      <UserInfo>
        <DisplayName>Willy GONNORD</DisplayName>
        <AccountId>81</AccountId>
        <AccountType/>
      </UserInfo>
      <UserInfo>
        <DisplayName>Maryline SAMAKE</DisplayName>
        <AccountId>82</AccountId>
        <AccountType/>
      </UserInfo>
      <UserInfo>
        <DisplayName>Gilles FREBAULT</DisplayName>
        <AccountId>83</AccountId>
        <AccountType/>
      </UserInfo>
      <UserInfo>
        <DisplayName>Mouhamadou GUEYE</DisplayName>
        <AccountId>23</AccountId>
        <AccountType/>
      </UserInfo>
    </SharedWithUsers>
    <Soci_x00e9_t_x00e9_ xmlns="26c3bc49-34c6-423b-b096-a2c5b053ba05" xsi:nil="true"/>
    <Ann_x00e9_e xmlns="26c3bc49-34c6-423b-b096-a2c5b053ba05" xsi:nil="true"/>
    <lcf76f155ced4ddcb4097134ff3c332f xmlns="26c3bc49-34c6-423b-b096-a2c5b053ba05">
      <Terms xmlns="http://schemas.microsoft.com/office/infopath/2007/PartnerControls"/>
    </lcf76f155ced4ddcb4097134ff3c332f>
    <TaxCatchAll xmlns="4da54098-0515-4621-a4ef-9bd262befad0" xsi:nil="true"/>
  </documentManagement>
</p:properties>
</file>

<file path=customXml/itemProps1.xml><?xml version="1.0" encoding="utf-8"?>
<ds:datastoreItem xmlns:ds="http://schemas.openxmlformats.org/officeDocument/2006/customXml" ds:itemID="{D234D2F8-0C7B-4A08-8530-3D21A2DFE6DA}"/>
</file>

<file path=customXml/itemProps2.xml><?xml version="1.0" encoding="utf-8"?>
<ds:datastoreItem xmlns:ds="http://schemas.openxmlformats.org/officeDocument/2006/customXml" ds:itemID="{ADCB8DC2-44E9-4725-91F1-7430CBCE9870}"/>
</file>

<file path=customXml/itemProps3.xml><?xml version="1.0" encoding="utf-8"?>
<ds:datastoreItem xmlns:ds="http://schemas.openxmlformats.org/officeDocument/2006/customXml" ds:itemID="{B6C45162-07CB-48CC-908A-E2B5F0D5DB2A}"/>
</file>

<file path=customXml/itemProps4.xml><?xml version="1.0" encoding="utf-8"?>
<ds:datastoreItem xmlns:ds="http://schemas.openxmlformats.org/officeDocument/2006/customXml" ds:itemID="{B3D02C0C-05E3-4EDE-9B7F-E8D65C401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Yannick Massé</dc:creator>
  <cp:keywords/>
  <dc:description/>
  <cp:lastModifiedBy>Kafui Charbel EKLU</cp:lastModifiedBy>
  <cp:revision/>
  <dcterms:created xsi:type="dcterms:W3CDTF">2018-07-31T14:44:38Z</dcterms:created>
  <dcterms:modified xsi:type="dcterms:W3CDTF">2025-09-10T08:50:56Z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0x010100FC5C355AC65CB84696BFE19DDDA51B42</vt:lpwstr>
  </property>
  <property fmtid="{D5CDD505-2E9C-101B-9397-08002B2CF9AE}" pid="3" name="MediaServiceImageTags">
    <vt:lpwstr/>
  </property>
  <property fmtid="{D5CDD505-2E9C-101B-9397-08002B2CF9AE}" pid="4" name="Order">
    <vt:r8>8000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